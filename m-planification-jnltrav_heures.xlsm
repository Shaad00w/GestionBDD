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1-Projets\P_gestion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12" i="10"/>
  <c r="C11" i="10"/>
  <c r="C10" i="10"/>
  <c r="C9" i="10"/>
  <c r="C8" i="10"/>
  <c r="C7" i="10"/>
  <c r="C4" i="12"/>
  <c r="C5" i="12"/>
  <c r="C6" i="12"/>
  <c r="C12" i="12"/>
  <c r="C4" i="10"/>
  <c r="C5" i="10"/>
  <c r="C6" i="10"/>
  <c r="C12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65" i="1"/>
  <c r="D42" i="1"/>
  <c r="D43" i="1"/>
  <c r="D64" i="1"/>
  <c r="D29" i="1"/>
  <c r="D46" i="1"/>
  <c r="D24" i="1"/>
  <c r="D76" i="1"/>
  <c r="D66" i="1"/>
  <c r="D57" i="1"/>
  <c r="D59" i="1"/>
  <c r="D52" i="1"/>
  <c r="D84" i="1"/>
  <c r="D74" i="1"/>
  <c r="D71" i="1"/>
  <c r="D23" i="1"/>
  <c r="D62" i="1"/>
  <c r="D19" i="1"/>
  <c r="D44" i="1"/>
  <c r="C11" i="15"/>
  <c r="D63" i="1"/>
  <c r="D60" i="1"/>
  <c r="D50" i="1"/>
  <c r="D41" i="1"/>
  <c r="D39" i="1"/>
  <c r="D83" i="1"/>
  <c r="D68" i="1"/>
  <c r="D58" i="1"/>
  <c r="D49" i="1"/>
  <c r="D51" i="1"/>
  <c r="D48" i="1"/>
  <c r="D33" i="1"/>
  <c r="D47" i="1"/>
  <c r="D53" i="1"/>
  <c r="D37" i="1"/>
  <c r="C11" i="16"/>
  <c r="D93" i="1"/>
  <c r="D36" i="1"/>
  <c r="D34" i="1"/>
  <c r="D25" i="1"/>
  <c r="D15" i="1"/>
  <c r="D35" i="1"/>
  <c r="D38" i="1"/>
  <c r="D27" i="1"/>
  <c r="D86" i="1"/>
  <c r="D77" i="1"/>
  <c r="D16" i="1"/>
  <c r="D18" i="1"/>
  <c r="D88" i="1"/>
  <c r="D94" i="1"/>
  <c r="D85" i="1"/>
  <c r="D28" i="1"/>
  <c r="D26" i="1"/>
  <c r="D17" i="1"/>
  <c r="D75" i="1"/>
  <c r="D89" i="1"/>
  <c r="D32" i="1"/>
  <c r="D31" i="1"/>
  <c r="D70" i="1"/>
  <c r="D61" i="1"/>
  <c r="D67" i="1"/>
  <c r="D91" i="1"/>
  <c r="D72" i="1"/>
  <c r="D78" i="1"/>
  <c r="D69" i="1"/>
  <c r="D79" i="1"/>
  <c r="D40" i="1"/>
  <c r="D80" i="1"/>
  <c r="D54" i="1"/>
  <c r="D45" i="1"/>
  <c r="D56" i="1"/>
  <c r="D5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<sst xmlns="http://schemas.openxmlformats.org/spreadsheetml/2006/main" count="193" uniqueCount="56">
  <si>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</si>
  <si>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</si>
  <si>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</si>
  <si>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</si>
  <si>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</si>
  <si>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</si>
  <si>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</si>
  <si>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</si>
  <si>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</si>
  <si>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</si>
  <si>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</si>
  <si>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</si>
  <si>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</si>
  <si>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</si>
  <si>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</si>
  <si>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</si>
  <si>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</si>
  <si>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</si>
  <si>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</si>
  <si>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</si>
  <si>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</si>
  <si>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</si>
  <si>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</si>
  <si>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</si>
  <si>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</si>
  <si>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</si>
  <si>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</si>
  <si>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</si>
  <si>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</si>
  <si>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</si>
  <si>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</si>
  <si>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</si>
  <si>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</si>
  <si>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</si>
  <si>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</si>
  <si>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</si>
  <si>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</si>
  <si>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</si>
  <si>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</si>
  <si>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</si>
  <si>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</si>
  <si>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</si>
  <si>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</si>
  <si>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</si>
  <si>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</si>
  <si>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 xml:space="preserve">P-Gestion </t>
  </si>
  <si>
    <t>Bontems Dylan</t>
  </si>
  <si>
    <t>Min2 grp2A</t>
  </si>
  <si>
    <t>Réalisation - implémentation</t>
  </si>
  <si>
    <t>implémentation d'une fonction avec un bouton afin de se connecter a une base de données MySQL</t>
  </si>
  <si>
    <t>11.01.2022 au08.02.2022</t>
  </si>
  <si>
    <t>mardi, 11 janvier 2022</t>
  </si>
  <si>
    <t>1h30min</t>
  </si>
  <si>
    <t>implémentation du bouton de connexion changeant quand on est connecté sur la base de donnée</t>
  </si>
  <si>
    <t>rédaction du rapport de projet</t>
  </si>
  <si>
    <t>rédaction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</si>
</sst>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64" fontId="10" fillId="5" borderId="17" xfId="0" applyNumberFormat="1" applyFont="1" applyFill="1" applyBorder="1" applyAlignment="1" applyProtection="1">
      <alignment horizontal="left" vertical="center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2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19" xfId="0" applyFont="1" applyFill="1" applyBorder="1" applyProtection="1"/>
    <xf numFmtId="0" fontId="2" fillId="19" borderId="19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6" xfId="0" applyFont="1" applyFill="1" applyBorder="1"/>
    <xf numFmtId="0" fontId="2" fillId="18" borderId="55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implémentation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0.17000000178813934</c:v>
              </c:pt>
              <c:pt idx="2">
                <c:v>1.1699999570846558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0.25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33</v>
      </c>
      <c r="C35" s="166"/>
      <c r="D35" s="166"/>
      <c r="E35" s="107" t="s">
        <v>52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34</v>
      </c>
      <c r="C37" s="167"/>
      <c r="D37" s="167"/>
      <c r="E37" s="109" t="s">
        <v>52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W18" sqref="W1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31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45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47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50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18</v>
      </c>
      <c r="D9" s="142"/>
      <c r="E9" s="13" t="s">
        <v>22</v>
      </c>
      <c r="F9" s="14"/>
      <c r="G9" s="173" t="str">
        <f>E96</f>
        <v>1h30min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23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1h30min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51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43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43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44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44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40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28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19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35</v>
      </c>
      <c r="K14" s="190"/>
      <c r="L14" s="190"/>
      <c r="M14" s="190"/>
      <c r="N14" s="104"/>
      <c r="O14" s="104"/>
      <c r="P14" s="191" t="s">
        <v>24</v>
      </c>
      <c r="Q14" s="191"/>
      <c r="R14" s="191"/>
      <c r="S14" s="191"/>
      <c r="T14" s="129"/>
      <c r="U14" s="129"/>
      <c r="V14" s="190" t="s">
        <v>36</v>
      </c>
      <c r="W14" s="190"/>
      <c r="X14" s="190"/>
      <c r="Y14" s="190"/>
      <c r="Z14" s="104"/>
      <c r="AA14" s="104"/>
      <c r="AB14" s="191" t="s">
        <v>25</v>
      </c>
      <c r="AC14" s="191"/>
      <c r="AD14" s="191"/>
      <c r="AE14" s="191"/>
      <c r="AF14" s="129"/>
      <c r="AG14" s="129"/>
      <c r="AH14" s="190" t="s">
        <v>37</v>
      </c>
      <c r="AI14" s="190"/>
      <c r="AJ14" s="190"/>
      <c r="AK14" s="190"/>
      <c r="AL14" s="104"/>
      <c r="AM14" s="104"/>
      <c r="AN14" s="191" t="s">
        <v>26</v>
      </c>
      <c r="AO14" s="191"/>
      <c r="AP14" s="191"/>
      <c r="AQ14" s="191"/>
      <c r="AR14" s="129"/>
      <c r="AS14" s="129"/>
      <c r="AT14" s="190" t="s">
        <v>38</v>
      </c>
      <c r="AU14" s="190"/>
      <c r="AV14" s="190"/>
      <c r="AW14" s="190"/>
      <c r="AX14" s="104"/>
      <c r="AY14" s="104"/>
      <c r="AZ14" s="191" t="s">
        <v>27</v>
      </c>
      <c r="BA14" s="191"/>
      <c r="BB14" s="191"/>
      <c r="BC14" s="191"/>
      <c r="BD14" s="129"/>
      <c r="BE14" s="129"/>
      <c r="BF14" s="190" t="s">
        <v>39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35</v>
      </c>
      <c r="BS14" s="190"/>
      <c r="BT14" s="190"/>
      <c r="BU14" s="190"/>
      <c r="BV14" s="104"/>
      <c r="BW14" s="104"/>
      <c r="BX14" s="191" t="s">
        <v>24</v>
      </c>
      <c r="BY14" s="191"/>
      <c r="BZ14" s="191"/>
      <c r="CA14" s="191"/>
      <c r="CB14" s="129"/>
      <c r="CC14" s="129"/>
      <c r="CD14" s="190" t="s">
        <v>36</v>
      </c>
      <c r="CE14" s="190"/>
      <c r="CF14" s="190"/>
      <c r="CG14" s="190"/>
      <c r="CH14" s="104"/>
      <c r="CI14" s="104"/>
      <c r="CJ14" s="191" t="s">
        <v>25</v>
      </c>
      <c r="CK14" s="191"/>
      <c r="CL14" s="191"/>
      <c r="CM14" s="191"/>
      <c r="CN14" s="129"/>
      <c r="CO14" s="129"/>
      <c r="CP14" s="190" t="s">
        <v>37</v>
      </c>
      <c r="CQ14" s="190"/>
      <c r="CR14" s="190"/>
      <c r="CS14" s="190"/>
      <c r="CT14" s="104"/>
      <c r="CU14" s="104"/>
      <c r="CV14" s="191" t="s">
        <v>26</v>
      </c>
      <c r="CW14" s="191"/>
      <c r="CX14" s="191"/>
      <c r="CY14" s="191"/>
      <c r="CZ14" s="129"/>
      <c r="DA14" s="129"/>
      <c r="DB14" s="190" t="s">
        <v>38</v>
      </c>
      <c r="DC14" s="190"/>
      <c r="DD14" s="190"/>
      <c r="DE14" s="190"/>
      <c r="DF14" s="104"/>
      <c r="DG14" s="104"/>
      <c r="DH14" s="191" t="s">
        <v>27</v>
      </c>
      <c r="DI14" s="191"/>
      <c r="DJ14" s="191"/>
      <c r="DK14" s="191"/>
      <c r="DL14" s="129"/>
      <c r="DM14" s="129"/>
      <c r="DN14" s="190" t="s">
        <v>39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35</v>
      </c>
      <c r="EA14" s="190"/>
      <c r="EB14" s="190"/>
      <c r="EC14" s="190"/>
      <c r="ED14" s="104"/>
      <c r="EE14" s="104"/>
      <c r="EF14" s="191" t="s">
        <v>24</v>
      </c>
      <c r="EG14" s="191"/>
      <c r="EH14" s="191"/>
      <c r="EI14" s="191"/>
      <c r="EJ14" s="129"/>
      <c r="EK14" s="129"/>
      <c r="EL14" s="190" t="s">
        <v>36</v>
      </c>
      <c r="EM14" s="190"/>
      <c r="EN14" s="190"/>
      <c r="EO14" s="190"/>
      <c r="EP14" s="104"/>
      <c r="EQ14" s="104"/>
      <c r="ER14" s="191" t="s">
        <v>25</v>
      </c>
      <c r="ES14" s="191"/>
      <c r="ET14" s="191"/>
      <c r="EU14" s="191"/>
      <c r="EV14" s="129"/>
      <c r="EW14" s="129"/>
      <c r="EX14" s="190" t="s">
        <v>37</v>
      </c>
      <c r="EY14" s="190"/>
      <c r="EZ14" s="190"/>
      <c r="FA14" s="190"/>
      <c r="FB14" s="104"/>
      <c r="FC14" s="104"/>
      <c r="FD14" s="191" t="s">
        <v>26</v>
      </c>
      <c r="FE14" s="191"/>
      <c r="FF14" s="191"/>
      <c r="FG14" s="191"/>
      <c r="FH14" s="129"/>
      <c r="FI14" s="129"/>
      <c r="FJ14" s="190" t="s">
        <v>38</v>
      </c>
      <c r="FK14" s="190"/>
      <c r="FL14" s="190"/>
      <c r="FM14" s="190"/>
      <c r="FN14" s="104"/>
      <c r="FO14" s="104"/>
      <c r="FP14" s="191" t="s">
        <v>27</v>
      </c>
      <c r="FQ14" s="191"/>
      <c r="FR14" s="191"/>
      <c r="FS14" s="191"/>
      <c r="FT14" s="129"/>
      <c r="FU14" s="129"/>
      <c r="FV14" s="190" t="s">
        <v>39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21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20</v>
      </c>
      <c r="B17" s="63" t="str">
        <f>IF(LEN(C19)=0,"",C19)</f>
        <v>Réalisation - implémentation</v>
      </c>
      <c r="C17" s="170" t="s">
        <v>32</v>
      </c>
      <c r="D17" s="147" t="str">
        <f t="shared" si="0"/>
        <v>0h10min</v>
      </c>
      <c r="E17" s="31">
        <v>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221"/>
      <c r="U17" s="221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21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20</v>
      </c>
      <c r="B19" s="63" t="str">
        <f>IF(LEN(C23)=0,"",C23)</f>
        <v>Doc - Rapport</v>
      </c>
      <c r="C19" s="170" t="s">
        <v>48</v>
      </c>
      <c r="D19" s="147" t="str">
        <f t="shared" si="0"/>
        <v>1h10min</v>
      </c>
      <c r="E19" s="39">
        <v>14</v>
      </c>
      <c r="F19" s="216"/>
      <c r="G19" s="217"/>
      <c r="H19" s="217"/>
      <c r="I19" s="217"/>
      <c r="J19" s="218"/>
      <c r="K19" s="219"/>
      <c r="L19" s="218"/>
      <c r="M19" s="218"/>
      <c r="N19" s="218"/>
      <c r="O19" s="218"/>
      <c r="P19" s="218"/>
      <c r="Q19" s="220"/>
      <c r="R19" s="218"/>
      <c r="S19" s="218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21</v>
      </c>
      <c r="B20" s="63" t="str">
        <f>IF(LEN(C25)=0,"",C25)</f>
        <v/>
      </c>
      <c r="C20" s="172"/>
      <c r="D20" s="148" t="str">
        <f t="shared" si="0"/>
        <v>1h</v>
      </c>
      <c r="E20" s="27">
        <v>12</v>
      </c>
      <c r="F20" s="28"/>
      <c r="G20" s="67"/>
      <c r="H20" s="67"/>
      <c r="I20" s="67"/>
      <c r="J20" s="29"/>
      <c r="K20" s="131"/>
      <c r="L20" s="225"/>
      <c r="M20" s="225"/>
      <c r="N20" s="225"/>
      <c r="O20" s="225"/>
      <c r="P20" s="225"/>
      <c r="Q20" s="227"/>
      <c r="R20" s="225"/>
      <c r="S20" s="225"/>
      <c r="T20" s="225"/>
      <c r="U20" s="225"/>
      <c r="V20" s="225"/>
      <c r="W20" s="228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20</v>
      </c>
      <c r="B21" s="63" t="str">
        <f>IF(LEN(C27)=0,"",C27)</f>
        <v/>
      </c>
      <c r="C21" s="170" t="s">
        <v>17</v>
      </c>
      <c r="D21" s="147" t="str">
        <f t="shared" si="0"/>
        <v>0h10min</v>
      </c>
      <c r="E21" s="31">
        <v>2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221"/>
      <c r="W21" s="229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21</v>
      </c>
      <c r="B22" s="63" t="str">
        <f>IF(LEN(C29)=0,"",C29)</f>
        <v/>
      </c>
      <c r="C22" s="172"/>
      <c r="D22" s="148" t="str">
        <f t="shared" si="0"/>
        <v>0h15min</v>
      </c>
      <c r="E22" s="35">
        <v>3</v>
      </c>
      <c r="F22" s="222"/>
      <c r="G22" s="223"/>
      <c r="H22" s="223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20</v>
      </c>
      <c r="B23" s="63" t="str">
        <f>IF(LEN(C31)=0,"",C31)</f>
        <v/>
      </c>
      <c r="C23" s="170" t="s">
        <v>16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21</v>
      </c>
      <c r="B24" s="63" t="str">
        <f>IF(LEN(C33)=0,"",C33)</f>
        <v/>
      </c>
      <c r="C24" s="172"/>
      <c r="D24" s="148" t="str">
        <f t="shared" si="0"/>
        <v>0h15min</v>
      </c>
      <c r="E24" s="27">
        <v>3</v>
      </c>
      <c r="F24" s="28"/>
      <c r="G24" s="67"/>
      <c r="H24" s="67"/>
      <c r="I24" s="224"/>
      <c r="J24" s="225"/>
      <c r="K24" s="226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20</v>
      </c>
      <c r="B25" s="63" t="str">
        <f>IF(LEN(C35)=0,"",C35)</f>
        <v/>
      </c>
      <c r="C25" s="170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21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20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21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20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21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20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21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20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21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20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21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20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21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20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21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20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21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20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21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20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21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20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21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20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21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20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21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20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21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20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21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20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21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20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21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20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21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20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21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20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21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20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21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20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21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20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21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20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21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20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21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20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21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20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21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20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21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20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21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20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21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20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21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20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21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20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21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20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21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18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1h30min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18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1h30min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4">
        <v>1</v>
      </c>
      <c r="C2" s="164"/>
      <c r="D2" s="82" t="s">
        <v>15</v>
      </c>
      <c r="E2" s="215">
        <v>44572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41</v>
      </c>
      <c r="C3" s="152"/>
      <c r="D3" s="80" t="s">
        <v>13</v>
      </c>
      <c r="E3" s="200" t="s">
        <v>14</v>
      </c>
      <c r="F3" s="201"/>
      <c r="G3" s="46"/>
    </row>
    <row r="4" spans="1:7" s="52" customFormat="1" x14ac:dyDescent="0.3">
      <c r="A4" s="48" t="s">
        <v>48</v>
      </c>
      <c r="B4" s="49">
        <v>14</v>
      </c>
      <c r="C4" s="153" t="str">
        <f xml:space="preserve"> IF(B4="","",setValueToTime(B4))</f>
        <v>1h10min</v>
      </c>
      <c r="D4" s="214" t="s">
        <v>49</v>
      </c>
      <c r="E4" s="208"/>
      <c r="F4" s="209"/>
      <c r="G4" s="51"/>
    </row>
    <row r="5" spans="1:7" s="52" customFormat="1" x14ac:dyDescent="0.3">
      <c r="A5" s="53" t="s">
        <v>32</v>
      </c>
      <c r="B5" s="54">
        <v>2</v>
      </c>
      <c r="C5" s="154" t="str">
        <f t="shared" ref="C5:C11" si="0" xml:space="preserve"> IF(B5="","",setValueToTime(B5))</f>
        <v>0h10min</v>
      </c>
      <c r="D5" s="55"/>
      <c r="E5" s="202"/>
      <c r="F5" s="203"/>
      <c r="G5" s="51"/>
    </row>
    <row r="6" spans="1:7" s="52" customFormat="1" x14ac:dyDescent="0.3">
      <c r="A6" s="53" t="s">
        <v>17</v>
      </c>
      <c r="B6" s="54">
        <v>2</v>
      </c>
      <c r="C6" s="154" t="str">
        <f t="shared" si="0"/>
        <v>0h10min</v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11" t="s">
        <v>29</v>
      </c>
      <c r="B12" s="84">
        <f>SUM(B4:B11)</f>
        <v>18</v>
      </c>
      <c r="C12" s="111" t="str">
        <f xml:space="preserve"> setValueToTime(B12)</f>
        <v>1h30min</v>
      </c>
      <c r="D12" s="120"/>
      <c r="E12" s="206"/>
      <c r="F12" s="207"/>
      <c r="G12" s="51"/>
    </row>
    <row r="13" spans="1:7" s="59" customFormat="1" x14ac:dyDescent="0.3">
      <c r="A13" s="79"/>
      <c r="B13" s="79"/>
      <c r="C13" s="79"/>
      <c r="D13" s="79"/>
      <c r="E13" s="79"/>
      <c r="F13" s="79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3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4" sqref="D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12</v>
      </c>
      <c r="B2" s="165">
        <v>1</v>
      </c>
      <c r="C2" s="165"/>
      <c r="D2" s="158" t="s">
        <v>15</v>
      </c>
      <c r="E2" s="159" t="s">
        <v>51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41</v>
      </c>
      <c r="C3" s="161"/>
      <c r="D3" s="78" t="s">
        <v>13</v>
      </c>
      <c r="E3" s="212" t="s">
        <v>14</v>
      </c>
      <c r="F3" s="213"/>
      <c r="G3" s="46"/>
    </row>
    <row r="4" spans="1:7" s="52" customFormat="1" ht="27" x14ac:dyDescent="0.3">
      <c r="A4" s="48" t="s">
        <v>17</v>
      </c>
      <c r="B4" s="49">
        <v>3</v>
      </c>
      <c r="C4" s="153" t="str">
        <f xml:space="preserve"> IF(B4="","",setValueToTime(B4))</f>
        <v>0h15min</v>
      </c>
      <c r="D4" s="214" t="s">
        <v>55</v>
      </c>
      <c r="E4" s="208"/>
      <c r="F4" s="209"/>
      <c r="G4" s="51"/>
    </row>
    <row r="5" spans="1:7" s="52" customFormat="1" x14ac:dyDescent="0.3">
      <c r="A5" s="53" t="s">
        <v>16</v>
      </c>
      <c r="B5" s="54">
        <v>3</v>
      </c>
      <c r="C5" s="154" t="str">
        <f t="shared" ref="C5:C11" si="0" xml:space="preserve"> IF(B5="","",setValueToTime(B5))</f>
        <v>0h15min</v>
      </c>
      <c r="D5" s="230" t="s">
        <v>54</v>
      </c>
      <c r="E5" s="202"/>
      <c r="F5" s="203"/>
      <c r="G5" s="51"/>
    </row>
    <row r="6" spans="1:7" s="52" customFormat="1" ht="27" x14ac:dyDescent="0.3">
      <c r="A6" s="53" t="s">
        <v>48</v>
      </c>
      <c r="B6" s="54">
        <v>12</v>
      </c>
      <c r="C6" s="154" t="str">
        <f t="shared" si="0"/>
        <v>1h</v>
      </c>
      <c r="D6" s="230" t="s">
        <v>53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29</v>
      </c>
      <c r="B12" s="83">
        <f>SUM(B4:B11)</f>
        <v>18</v>
      </c>
      <c r="C12" s="163" t="str">
        <f xml:space="preserve"> setValueToTime(B12)</f>
        <v>1h30min</v>
      </c>
      <c r="D12" s="121"/>
      <c r="E12" s="210"/>
      <c r="F12" s="211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35</v>
      </c>
      <c r="F14" s="190"/>
      <c r="G14" s="190"/>
      <c r="H14" s="190"/>
      <c r="I14" s="104"/>
      <c r="J14" s="104"/>
      <c r="K14" s="191" t="s">
        <v>24</v>
      </c>
      <c r="L14" s="191"/>
      <c r="M14" s="191"/>
      <c r="N14" s="191"/>
      <c r="O14" s="129"/>
      <c r="P14" s="129"/>
      <c r="Q14" s="190" t="s">
        <v>36</v>
      </c>
      <c r="R14" s="190"/>
      <c r="S14" s="190"/>
      <c r="T14" s="190"/>
      <c r="U14" s="104"/>
      <c r="V14" s="104"/>
      <c r="W14" s="191" t="s">
        <v>25</v>
      </c>
      <c r="X14" s="191"/>
      <c r="Y14" s="191"/>
      <c r="Z14" s="191"/>
      <c r="AA14" s="129"/>
      <c r="AB14" s="129"/>
      <c r="AC14" s="190" t="s">
        <v>37</v>
      </c>
      <c r="AD14" s="190"/>
      <c r="AE14" s="190"/>
      <c r="AF14" s="190"/>
      <c r="AG14" s="104"/>
      <c r="AH14" s="104"/>
      <c r="AI14" s="191" t="s">
        <v>26</v>
      </c>
      <c r="AJ14" s="191"/>
      <c r="AK14" s="191"/>
      <c r="AL14" s="191"/>
      <c r="AM14" s="129"/>
      <c r="AN14" s="129"/>
      <c r="AO14" s="190" t="s">
        <v>38</v>
      </c>
      <c r="AP14" s="190"/>
      <c r="AQ14" s="190"/>
      <c r="AR14" s="190"/>
      <c r="AS14" s="104"/>
      <c r="AT14" s="104"/>
      <c r="AU14" s="191" t="s">
        <v>27</v>
      </c>
      <c r="AV14" s="191"/>
      <c r="AW14" s="191"/>
      <c r="AX14" s="191"/>
      <c r="AY14" s="129"/>
      <c r="AZ14" s="129"/>
      <c r="BA14" s="190" t="s">
        <v>39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4">
        <v>1</v>
      </c>
      <c r="C1" s="164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13</v>
      </c>
      <c r="E2" s="200" t="s">
        <v>14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12</v>
      </c>
      <c r="B1" s="165">
        <v>1</v>
      </c>
      <c r="C1" s="165"/>
      <c r="D1" s="158" t="s">
        <v>15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29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Dylan Bontems</dc:creator>
  <cp:lastModifiedBy>Dylan Bontems</cp:lastModifiedBy>
  <cp:lastPrinted>2019-05-08T10:31:53Z</cp:lastPrinted>
  <dcterms:created xsi:type="dcterms:W3CDTF">1996-10-21T11:03:58Z</dcterms:created>
  <dcterms:modified xsi:type="dcterms:W3CDTF">2022-01-11T15:29:27Z</dcterms:modified>
</cp:coreProperties>
</file>